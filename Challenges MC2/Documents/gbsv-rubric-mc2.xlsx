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fhnw365.sharepoint.com/teams/O-I4DS-Vision-And-Sensor-Data_M365/Freigegebene Dokumente/General/teaching/new-rubric/"/>
    </mc:Choice>
  </mc:AlternateContent>
  <xr:revisionPtr revIDLastSave="148" documentId="13_ncr:1_{33B93637-1799-4D32-BC46-01E1755C3D5C}" xr6:coauthVersionLast="47" xr6:coauthVersionMax="47" xr10:uidLastSave="{C1C5F997-EC51-4FEA-88AB-BC82E86379AE}"/>
  <bookViews>
    <workbookView xWindow="-110" yWindow="-110" windowWidth="34620" windowHeight="13900" xr2:uid="{291C89BA-2D8E-4489-94BE-542C4F10DADE}"/>
  </bookViews>
  <sheets>
    <sheet name="overview_grade" sheetId="9" r:id="rId1"/>
    <sheet name="task1" sheetId="4" r:id="rId2"/>
    <sheet name="task2" sheetId="7" r:id="rId3"/>
    <sheet name="task3" sheetId="8" r:id="rId4"/>
    <sheet name="gbsv_interpretations-indicators" sheetId="5" r:id="rId5"/>
    <sheet name="competence_dimensions" sheetId="3" r:id="rId6"/>
    <sheet name="performance_levels" sheetId="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9" l="1"/>
  <c r="E3" i="9" l="1"/>
  <c r="A2" i="9" l="1"/>
  <c r="C2" i="9"/>
  <c r="D2" i="9"/>
  <c r="E2" i="9"/>
  <c r="G2" i="9"/>
  <c r="F8" i="9"/>
  <c r="F10" i="8"/>
  <c r="F8" i="8"/>
  <c r="F6" i="8"/>
  <c r="F4" i="8"/>
  <c r="F2" i="8"/>
  <c r="F10" i="7"/>
  <c r="F8" i="7"/>
  <c r="F6" i="7"/>
  <c r="F4" i="7"/>
  <c r="F2" i="7"/>
  <c r="F10" i="4"/>
  <c r="F8" i="4"/>
  <c r="F6" i="4"/>
  <c r="F4" i="4"/>
  <c r="F2" i="4"/>
  <c r="E6" i="9"/>
  <c r="E5" i="9"/>
  <c r="E4" i="9"/>
  <c r="D6" i="9"/>
  <c r="D5" i="9"/>
  <c r="D4" i="9"/>
  <c r="D3" i="9"/>
  <c r="G6" i="9"/>
  <c r="G5" i="9"/>
  <c r="G4" i="9"/>
  <c r="G3" i="9"/>
  <c r="C6" i="9"/>
  <c r="C5" i="9"/>
  <c r="C4" i="9"/>
  <c r="C3" i="9"/>
  <c r="A6" i="9"/>
  <c r="A5" i="9"/>
  <c r="A4" i="9"/>
  <c r="A3" i="9"/>
  <c r="H12" i="8"/>
  <c r="H12" i="7"/>
  <c r="H12" i="4"/>
  <c r="C7" i="9" l="1"/>
  <c r="D7" i="9"/>
  <c r="G7" i="9"/>
  <c r="G9" i="9" s="1"/>
  <c r="F12" i="8"/>
  <c r="E7" i="9"/>
  <c r="G12" i="8"/>
  <c r="F12" i="7"/>
  <c r="G12" i="7"/>
  <c r="F12" i="4"/>
  <c r="G12" i="4"/>
  <c r="G13" i="4" s="1"/>
  <c r="F7" i="9" l="1"/>
  <c r="H9" i="9" l="1"/>
</calcChain>
</file>

<file path=xl/sharedStrings.xml><?xml version="1.0" encoding="utf-8"?>
<sst xmlns="http://schemas.openxmlformats.org/spreadsheetml/2006/main" count="191" uniqueCount="104">
  <si>
    <t>Meets basic requirements but shows noticeable deficiencies or omissions.</t>
  </si>
  <si>
    <t>Well completed with only minor deficiencies or omissions.</t>
  </si>
  <si>
    <t>Fully and comprehensively completed without relevant deficiencies.</t>
  </si>
  <si>
    <t>Does not demonstrate sufficient methodological competence.</t>
  </si>
  <si>
    <t>Demonstrates basic methodological competence.</t>
  </si>
  <si>
    <t>Applies standard approaches correctly but with limited justification or reflection.</t>
  </si>
  <si>
    <t>Demonstrates solid methodological competence.</t>
  </si>
  <si>
    <t>Selects and applies standard approaches thoughtfully and with clear justification.</t>
  </si>
  <si>
    <t>Demonstrates advanced methodological competence.</t>
  </si>
  <si>
    <t>Goes beyond standard approaches through justified methodological depth or original intellectual contribution.</t>
  </si>
  <si>
    <t>Applies approaches incorrectly or incompletely.</t>
  </si>
  <si>
    <t>Data &amp; Domain Competence</t>
  </si>
  <si>
    <t>Methodological Competence</t>
  </si>
  <si>
    <t>Technical Implementation Competence</t>
  </si>
  <si>
    <t>Evaluation Competence</t>
  </si>
  <si>
    <t>Analytical &amp; Communication Competence</t>
  </si>
  <si>
    <t>Selects, justifies, and appropriately uses data in alignment with the use case, demonstrating domain understanding and proper referencing of sources.</t>
  </si>
  <si>
    <t>Designs and justifies suitable methodological approaches, including the selection of models, parameters, and metrics, and where appropriate integrates advanced or original methods.</t>
  </si>
  <si>
    <t>Implements algorithms and methods correctly and reliably in a technically sound and reproducible manner.</t>
  </si>
  <si>
    <t>Interprets and contextualizes results in relation to the use case, structures the analysis logically, and communicates findings clearly and convincingly.</t>
  </si>
  <si>
    <t>Data &amp; Domain</t>
  </si>
  <si>
    <t>Methodological</t>
  </si>
  <si>
    <t>Technical Implementation</t>
  </si>
  <si>
    <t>Evaluation</t>
  </si>
  <si>
    <t>Analytical &amp; Communication</t>
  </si>
  <si>
    <t>Use case and data are generally appropriate but weakly justified or loosely aligned.</t>
  </si>
  <si>
    <t>Weight</t>
  </si>
  <si>
    <t>Points Achieved</t>
  </si>
  <si>
    <t>Competence</t>
  </si>
  <si>
    <t>Interpretation</t>
  </si>
  <si>
    <t>Illustrative Indicators Strong Performance (Non-Exhaustive)</t>
  </si>
  <si>
    <t>Illustrative Indicators Weak Performance (Non-Exhaustive)</t>
  </si>
  <si>
    <t>- Clear and relevant observations (what is seen in the results).
-Explicit interpretation (what these observations mean for the defined use case).
- Critical discussion (strengths, limitations, and boundary conditions of the chosen approach).
- Reflection on the applicability of the results to the problem statement.
- Coherent narrative connecting country → use case → method → results → meaning.</t>
  </si>
  <si>
    <t>- Observations (what is seen) reported without interpretation.
- Interpretation without linking back to the use case.
- No discussion of limitations or applicability.
- Descriptive reporting instead of analytical reasoning.
- Weak or unclear argumentative structure.</t>
  </si>
  <si>
    <t>In short: correct but limited justification</t>
  </si>
  <si>
    <t>In short: incorrect or fundamentally flawed</t>
  </si>
  <si>
    <t>In short:  correct and clearly justified</t>
  </si>
  <si>
    <t>In short: goes beyond standard approaches</t>
  </si>
  <si>
    <t>In gbsv, this includes quantitatively and visually assessing results (e.g., aliasing effects, segmentation accuracy, object counts, statistical summaries), systematically exploring parameter effects where relevant, and linking evaluation results back to the use case.
Focus: Does it work? How well? Under what conditions?</t>
  </si>
  <si>
    <t>In gbsv, this includes interpreting results explicitly in relation to the defined use case, explaining their meaning and applicability to the problem statement, discussing strengths and limitations of the chosen approach, and communicating the analysis in a clear and logically structured manner, structuring the submission with a coherent narrative related to the chosen country.
Focus: Meaning relative to the use case, applicability, critical reflection, and coherent structure</t>
  </si>
  <si>
    <t>Notes</t>
  </si>
  <si>
    <t>Total Points</t>
  </si>
  <si>
    <t>Grade</t>
  </si>
  <si>
    <t>Designs and conducts meaningful evaluations using appropriate metrics and visualizations specific to the use case.</t>
  </si>
  <si>
    <t>Methodological Design</t>
  </si>
  <si>
    <t>Task1</t>
  </si>
  <si>
    <t>Task2</t>
  </si>
  <si>
    <t>Task3</t>
  </si>
  <si>
    <t>Subtotal</t>
  </si>
  <si>
    <t>Max Points</t>
  </si>
  <si>
    <t>Bonus credits</t>
  </si>
  <si>
    <t>Designs and justifies suitable methodological approaches, including the selection of models, parameters, and where appropriate integrates advanced or original methods.</t>
  </si>
  <si>
    <t>Methods are missing, incorrect, unsuitable, or fundamentally misunderstood.</t>
  </si>
  <si>
    <t>Use case and data are missing, unclear, inappropriate, or fundamentally misaligned.</t>
  </si>
  <si>
    <t>0 points</t>
  </si>
  <si>
    <t>2 points</t>
  </si>
  <si>
    <t>3 points</t>
  </si>
  <si>
    <t>1 point</t>
  </si>
  <si>
    <t xml:space="preserve">3 points – robust and clearly structured implementation  </t>
  </si>
  <si>
    <t xml:space="preserve">2 points – correct implementation with clear steps  </t>
  </si>
  <si>
    <t xml:space="preserve">1 point – basic implementation but weaknesses in clarity or structure  </t>
  </si>
  <si>
    <t>0 points – incorrect implementation</t>
  </si>
  <si>
    <t>In gbsv, this includes selecting and justifying appropriate classical signal and image processing methods (e.g., sampling analysis, convolution, correlation, thresholding, morphology), choosing suitable parameters (kernel size, thresholds, structuring elements), and explaining why these methods are appropriate for the defined use case.
Focus: WHAT method and WHY, and HOW it relates to the signal</t>
  </si>
  <si>
    <t>- Correct implementation of algorithms (e.g., convolution, correlation, segmentation pipeline) including relevant steps/parameters.
- Clear presentation of intermediate results.
- Transparent computational steps C3allowing the process to be followed without re-running code.
- Consistent and technically sound execution.</t>
  </si>
  <si>
    <t>In gbsv, this includes clearly defining a signal- or image-based problem (e.g., aliasing, periodicity detection, filtering, segmentation), selecting appropriate 1D signals or 2D images related to the chosen country, and justifying why the signal characteristics (sampling rate, frequency content, noise, object separability, contrast) are suitable for the defined use case.
Focus: framing and data properties and their alignment with the task</t>
  </si>
  <si>
    <t>- Clear and precise problem formulation (WHAT and WHY) a well-defined analytical objective.
- Explicit explanation of why the chosen signal or image is appropriate for the specific analytical objective.
- Discussion of relevant signal/image characteristics (e.g., periodicity, bandwidth, resolution, noise, contrast) and how they enable or constrain the analysis.
- Coherent and explicit link between use case → data selection → expected observable patterns.
- Evidence that the data contains the relevant structures for the task (e.g., expected periodicity, detectable features, separable objects).
- Data sources clearly referenced and appropriate for the use case</t>
  </si>
  <si>
    <t>- Use case or problem statement is missing, vague, or not translated into a concrete analytical objective.
- Signal/image chosen without justification or based on convenience rather than suitability.
- No or weak link between data properties and the intended analysis (e.g., periodicity claimed but not evident in the signal).
- Relevant signal/image characteristics are listed but not interpreted.
- Data does not clearly contain the structures required for the task.
- Data sources missing or not appropriate for the use case.</t>
  </si>
  <si>
    <t>- Clear reasoning of why a specific method (e.g., convolution, correlation, thresholding, Hough transform) is appropriate for the defined use case.
- Reasoned choice of 1-3 parameters grounded in signal/image properties (e.g., expected period, noise level, spatial scale).
- Comparison of alternative approaches and explanation of trade-offs.
- Explicit distinction between different methodological roles where relevant (e.g., autocorrelation vs. cross-correlation).
- Explicit link between data characteristics, method choice, and expected outcome.</t>
  </si>
  <si>
    <t>- Method chosen without explanation or with only generic statements (“to detect patterns”).
- Parameters selected arbitrarily without reasoning or without relation to the signal/image or too many parameters.
- Using a method because it was shown in class, without justification.
- No clear link between the analytical objective and the selected method.
- Different methods mentioned but not clearly distinguished in their purpose.</t>
  </si>
  <si>
    <t>- Incorrect implementation of core operations.
- Missing intermediate steps.
- Black-box use of functions without explanation.
- Technical errors affecting results.
- Mismatch between method and signal representation leading to limited usefulness of results (without technical errors).</t>
  </si>
  <si>
    <t>In gbsv, this includes correctly implementing core algorithms (e.g., Nyquist rate calculation, convolution, deconvolution, correlation, segmentation steps), ensuring that results are technically valid and usable for the intended task. Intermediate steps should be clearly demonstrated, and the full computational process should be reproducible, transparent, and traceable.
Focus: HOW it is implemented</t>
  </si>
  <si>
    <t>Bonus Credits</t>
  </si>
  <si>
    <t>3 Points</t>
  </si>
  <si>
    <t>2 Points</t>
  </si>
  <si>
    <t>0 Points</t>
  </si>
  <si>
    <t>1 Points</t>
  </si>
  <si>
    <t>- Use of appropriate quantitative measures (e.g. error metrics, similarity measures, counts, domain-specific indicators)
- At least one clearly defined and justified metric
- Quantitative evaluation supported by visualizations where helpful
- Systematic variation of key parameters or conditions where relevant
- Clear link between evaluation results and the use case
- Direct comparability of results across configurations or conditions
- Focus on a small number of meaningful factors rather than exhaustive exploration</t>
  </si>
  <si>
    <t xml:space="preserve">- Only qualitative visual inspection without metrics
- Metrics unrelated to the use case
- Too many metrics without justification
- No structured comparison across configurations or conditions
- No validation or interpretation of results in relation to the task
</t>
  </si>
  <si>
    <t xml:space="preserve">No meaningful quantitative evaluation or not usable for the use case.
</t>
  </si>
  <si>
    <t>Limited or inconsistent evaluation. Metrics are weakly justified or not suitable. Results are mostly descriptive, with no clear or structured comparison.</t>
  </si>
  <si>
    <t>Appropriate and consistent evaluation using relevant metrics. Results are comparable across configurations, but not clearly condensed (e.g. no clear best-performing settings or ranking). Parameter variation is present but not fully focused.</t>
  </si>
  <si>
    <t>Clear, concise, and insightful evaluation. Well-justified metrics. Results are compactly compared, enabling direct comparison (e.g. best settings, trade-offs). Parameter variation is focused and supports clear quantitative reasoning.
I can clearly see what works best and why</t>
  </si>
  <si>
    <t>Appropriate and consistent evaluation using relevant metrics. Results are comparable across configurations, but not clearly condensed (e.g. no clear best-performing settings or ranking). Parameter variation is present but not fully focused.
I can compare, but not decide clearly</t>
  </si>
  <si>
    <t>Limited or inconsistent evaluation. Metrics are weakly justified or not suitable. Results are mostly descriptive, with no clear or structured comparison.
I see something, but cannot really compare</t>
  </si>
  <si>
    <t>Designs and conducts meaningful, use-case-specific evaluations using appropriate metrics and visualizations to enable clear and structured comparison of results.</t>
  </si>
  <si>
    <t>Implementation is clean, well-structured, and technically mature. Algorithms are executed correctly and consistently, producing reliable results. Computational steps and intermediate results are fully traceable, with well-chosen checkpoints, leading to a lean and robust solution.</t>
  </si>
  <si>
    <t>Implementation is correct and usable. Algorithms are generally executed properly and produce technically valid results. Computational steps and intermediate results are mostly traceable, though some gaps, unnecessary complexity, or too many experiments reduce clarity.</t>
  </si>
  <si>
    <t xml:space="preserve"> Implementation is present but unreliable or inconsistent. Results are only partially usable. Key computational steps are unclear, incomplete, or inconsistently executed, making it difficult to trace how results are produced.</t>
  </si>
  <si>
    <t>Implementation is incorrect, incomplete, or non-functional. Results are not usable. Core computational steps are missing or fundamentally flawed, and results cannot be traced at all.</t>
  </si>
  <si>
    <t>Implements algorithms and methods correctly and produces technically valid results. Computational steps and intermediate results are presented clearly and in a fully traceable manner, allowing the workflow from input to output to be followed. The implementation is well-structured, focused, and based on a small number of coherent, clearly organized experiments.</t>
  </si>
  <si>
    <t>I see something, but cannot really compare</t>
  </si>
  <si>
    <t>I can compare, but not decide clearly</t>
  </si>
  <si>
    <t xml:space="preserve">Clear, concise, and insightful evaluation. Well-justified metrics. Results are compactly compared, enabling direct comparison (e.g. best settings, trade-offs). Parameter variation is focused and supports clear quantitative reasoning.
</t>
  </si>
  <si>
    <t>I can clearly see what works best and why</t>
  </si>
  <si>
    <t>Standard methods are applied correctly, but justification is limited or generic.
Weak connection between method, signal, and use case; parameters appear arbitrary or unexplained.</t>
  </si>
  <si>
    <t>Methods are appropriate and clearly justified.
There is a logical link between signal characteristics, method choice, and expected outcome.
Relevant trade-offs are recognised, but explanations may remain partly generic or not fully developed.</t>
  </si>
  <si>
    <t>Methodological choices show strong depth and justification.
Assumptions are explicit, and trade-offs are clearly and systematically reasoned.
The approach is tightly aligned with the use case, including a clear sense of what constitutes a practically useful result.
May include particularly strong parameter reasoning or original insight.</t>
  </si>
  <si>
    <t>Use case and data are clearly defined and appropriately aligned with sound justification. There is some linkage between data characteristics and the analytical objective, but reasoning remains partly general or implicit.</t>
  </si>
  <si>
    <t>Use case and data are thoughtfully framed and optimally aligned, demonstrating deep understanding of task constraints. Data characteristics are explicitly described and clearly linked to the analytical objective, with evidence that the data contains the relevant structures required for the task.</t>
  </si>
  <si>
    <t>Selects, justifies, and appropriately uses data in alignment with the use case, demonstrating domain understanding and proper referencing of sources, including explicit reasoning about relevant signal or data characteristics.</t>
  </si>
  <si>
    <t>Results are neither described nor interpreted; lack of written communication.</t>
  </si>
  <si>
    <t>Results are described but interpretation remains limited, superficial, or loosely connected to the use case. Communication is minimal, unfocused, or generic.</t>
  </si>
  <si>
    <t>Results are clearly described, interpreted, and explicitly linked to the use case. The analysis is logically structured and communicated clearly, but reasoning remains primarily descriptive or somewhat generic.</t>
  </si>
  <si>
    <t>Results are deeply contextualized to the use case, critically reflected, and translated into concrete insights about when and why the method works or fails. Explanations are non-generic, insight-driven, and include clear reasoning, limitations, boundary conditions, and methodological implications.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</si>
</sst>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0" tint="-0.249977111117893"/>
        <bgColor theme="0" tint="-0.14999847407452621"/>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theme="0"/>
      </left>
      <right style="thin">
        <color theme="0"/>
      </right>
      <top style="thin">
        <color theme="0"/>
      </top>
      <bottom/>
      <diagonal/>
    </border>
    <border>
      <left/>
      <right/>
      <top style="thin">
        <color indexed="64"/>
      </top>
      <bottom style="double">
        <color indexed="64"/>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49" fontId="0" fillId="0" borderId="0" xfId="0" applyNumberFormat="1" applyAlignment="1">
      <alignment wrapText="1"/>
    </xf>
    <xf numFmtId="1" fontId="0" fillId="0" borderId="0" xfId="0" applyNumberFormat="1" applyAlignment="1">
      <alignment wrapText="1"/>
    </xf>
    <xf numFmtId="0" fontId="0" fillId="0" borderId="0" xfId="0" applyAlignment="1">
      <alignment wrapText="1"/>
    </xf>
    <xf numFmtId="49" fontId="0" fillId="0" borderId="0" xfId="0" quotePrefix="1" applyNumberFormat="1" applyAlignment="1">
      <alignment vertical="top" wrapText="1"/>
    </xf>
    <xf numFmtId="49" fontId="0" fillId="0" borderId="0" xfId="0" applyNumberFormat="1" applyAlignment="1">
      <alignment vertical="top" wrapText="1"/>
    </xf>
    <xf numFmtId="0" fontId="0" fillId="0" borderId="0" xfId="0" applyAlignment="1">
      <alignment vertical="top"/>
    </xf>
    <xf numFmtId="0" fontId="1" fillId="0" borderId="0" xfId="0" applyFont="1" applyAlignment="1">
      <alignment vertical="center"/>
    </xf>
    <xf numFmtId="49" fontId="0" fillId="0" borderId="0" xfId="0" applyNumberFormat="1" applyAlignment="1">
      <alignment vertical="center" wrapText="1"/>
    </xf>
    <xf numFmtId="49" fontId="1" fillId="0" borderId="0" xfId="0" applyNumberFormat="1" applyFont="1" applyAlignment="1">
      <alignment wrapText="1"/>
    </xf>
    <xf numFmtId="0" fontId="0" fillId="2" borderId="1" xfId="0" applyFill="1" applyBorder="1" applyAlignment="1">
      <alignment wrapText="1"/>
    </xf>
    <xf numFmtId="0" fontId="0" fillId="3" borderId="0" xfId="0" applyFill="1"/>
    <xf numFmtId="0" fontId="0" fillId="3" borderId="2" xfId="0" applyFill="1" applyBorder="1"/>
    <xf numFmtId="0" fontId="0" fillId="4" borderId="0" xfId="0" applyFill="1"/>
    <xf numFmtId="49" fontId="0" fillId="0" borderId="0" xfId="0" quotePrefix="1" applyNumberFormat="1" applyAlignment="1">
      <alignment vertical="center" wrapText="1"/>
    </xf>
  </cellXfs>
  <cellStyles count="1">
    <cellStyle name="Normal" xfId="0" builtinId="0"/>
  </cellStyles>
  <dxfs count="35">
    <dxf>
      <font>
        <b val="0"/>
        <i val="0"/>
        <strike val="0"/>
        <condense val="0"/>
        <extend val="0"/>
        <outline val="0"/>
        <shadow val="0"/>
        <u val="none"/>
        <vertAlign val="baseline"/>
        <sz val="11"/>
        <color theme="1"/>
        <name val="Aptos Narrow"/>
        <family val="2"/>
        <scheme val="minor"/>
      </font>
      <numFmt numFmtId="30" formatCode="@"/>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30" formatCode="@"/>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D81AE8-EC2F-4124-92E1-8F3EB2BC2208}" name="Table7" displayName="Table7" ref="A1:G7" totalsRowShown="0">
  <autoFilter ref="A1:G7" xr:uid="{96D81AE8-EC2F-4124-92E1-8F3EB2BC220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3C58341-ECBD-4FCA-96E3-F18C595F42C5}" name="Competence"/>
    <tableColumn id="2" xr3:uid="{477ECE46-4D74-4218-BEBB-974309117F1C}" name="Weight"/>
    <tableColumn id="3" xr3:uid="{F0FD4DE7-B0B2-45AD-BF39-684D9F8B2AF5}" name="Task1"/>
    <tableColumn id="4" xr3:uid="{4AC006AD-B5F8-49B2-B314-7AC4B978FE22}" name="Task2"/>
    <tableColumn id="5" xr3:uid="{DF44002B-A64F-4375-B6E8-407B430F45DE}" name="Task3"/>
    <tableColumn id="6" xr3:uid="{E93E5480-CBDB-4997-81B6-7F0D1F8E6698}" name="Total Points"/>
    <tableColumn id="7" xr3:uid="{8B94F7B5-AA33-447B-9A7C-B782AED1C607}" name="Bonus credits"/>
  </tableColumns>
  <tableStyleInfo name="TableStyleMedium15"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89C468-AE82-4BF4-979B-713B9E10055B}" name="Table2" displayName="Table2" ref="A1:I13" totalsRowShown="0" headerRowDxfId="34" dataDxfId="33">
  <autoFilter ref="A1:I13"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71DC0EE-03AD-4C61-BF98-BA1C5AF4E6DB}" name="Competence" dataDxfId="32"/>
    <tableColumn id="2" xr3:uid="{CDFC6CAB-820D-4C41-A76B-39B7C61A9C74}" name="0 Points" dataDxfId="31"/>
    <tableColumn id="3" xr3:uid="{0FE1B8B9-E5DC-4317-B74C-8D150C2A5ECC}" name="1 Points" dataDxfId="30"/>
    <tableColumn id="4" xr3:uid="{0CEF8825-405E-4452-9BE1-968276FF1176}" name="2 Points" dataDxfId="29"/>
    <tableColumn id="5" xr3:uid="{F9D3D764-FD81-4B9F-85A9-925F4C16ECAB}" name="3 Points" dataDxfId="28"/>
    <tableColumn id="6" xr3:uid="{B73D6D4E-8D01-4ED2-AC1A-6D44BC57624B}" name="Weight" dataDxfId="27"/>
    <tableColumn id="7" xr3:uid="{4857E3FB-8D19-44DF-BA12-6D8561D09CC3}" name="Points Achieved" dataDxfId="26"/>
    <tableColumn id="9" xr3:uid="{32410447-A1D6-4850-9CDD-EB7F37F7ADE4}" name="Bonus Credits"/>
    <tableColumn id="8" xr3:uid="{6AD4CCBD-FE2E-4464-8ADD-B7E9D8615471}" name="Notes" dataDxfId="25"/>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6BBBAD-25AC-44A3-BBCF-299B59C86B08}" name="Table22" displayName="Table22" ref="A1:I12" totalsRowShown="0" headerRowDxfId="24" dataDxfId="23">
  <autoFilter ref="A1:I12"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E46D7BE-17AC-4E51-90F9-81DFD8FA556C}" name="Competence" dataDxfId="22"/>
    <tableColumn id="2" xr3:uid="{016D438B-679C-4741-9424-A55D58E16630}" name="0 Points" dataDxfId="21"/>
    <tableColumn id="3" xr3:uid="{7015D14E-5CD2-44DB-9F3E-CB2E66C8C226}" name="1 Points" dataDxfId="20"/>
    <tableColumn id="4" xr3:uid="{EA110171-3AE7-47E7-A327-073EFFD74BBA}" name="2 Points" dataDxfId="19"/>
    <tableColumn id="5" xr3:uid="{F039A612-1D09-4168-A9EE-00C3AB8FCBCD}" name="3 Points" dataDxfId="18"/>
    <tableColumn id="6" xr3:uid="{88EE081E-A28D-44ED-9366-E03DB02BCA1B}" name="Weight" dataDxfId="17"/>
    <tableColumn id="7" xr3:uid="{23D98B01-02A1-4C8F-B575-0EC693132041}" name="Points Achieved" dataDxfId="16"/>
    <tableColumn id="9" xr3:uid="{7A78B9A9-FCE0-4BCF-9244-39A043354C01}" name="Bonus Credits"/>
    <tableColumn id="8" xr3:uid="{816203FC-2342-4BE9-B1D6-9E3441C0B773}" name="Notes" dataDxfId="15"/>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17D51C-26BD-4792-9B49-D5B690E87911}" name="Table25" displayName="Table25" ref="A1:I12" totalsRowShown="0" headerRowDxfId="14" dataDxfId="13">
  <autoFilter ref="A1:I12"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F2D67C5-0C4F-4385-9E21-8D2AD1F82F73}" name="Competence" dataDxfId="12"/>
    <tableColumn id="2" xr3:uid="{E888C963-68AD-43E6-AE33-3EF01EAB36A8}" name="0 Points" dataDxfId="11"/>
    <tableColumn id="3" xr3:uid="{D081F040-D0CF-4F9B-B949-2A75D40D75E2}" name="1 Points" dataDxfId="10"/>
    <tableColumn id="4" xr3:uid="{EB534A87-B0BB-437C-AAB3-79538C18B85F}" name="2 Points" dataDxfId="9"/>
    <tableColumn id="5" xr3:uid="{B626069B-C47A-47D9-BD36-826AC184F94C}" name="3 Points" dataDxfId="8"/>
    <tableColumn id="6" xr3:uid="{9C070C09-2CCD-4B8B-961D-E0970C43816E}" name="Weight" dataDxfId="7"/>
    <tableColumn id="7" xr3:uid="{7DB0206B-561D-406B-985B-CC1813B51131}" name="Points Achieved" dataDxfId="6"/>
    <tableColumn id="9" xr3:uid="{D0272112-26CB-402C-BE90-F16238EBCBA3}" name="Bonus Credits"/>
    <tableColumn id="8" xr3:uid="{CF419648-AC54-44C4-8F1A-AE43B293279A}" name="Notes" dataDxfId="5"/>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AF2826-6DE8-4A48-BC4D-B7328143928A}" name="Table3" displayName="Table3" ref="A1:D6" totalsRowShown="0" dataDxfId="4">
  <autoFilter ref="A1:D6" xr:uid="{77AF2826-6DE8-4A48-BC4D-B7328143928A}">
    <filterColumn colId="0" hiddenButton="1"/>
    <filterColumn colId="1" hiddenButton="1"/>
    <filterColumn colId="2" hiddenButton="1"/>
    <filterColumn colId="3" hiddenButton="1"/>
  </autoFilter>
  <tableColumns count="4">
    <tableColumn id="1" xr3:uid="{EA2B7324-A4B8-4967-A810-9116DAF0ABB4}" name="Competence" dataDxfId="3"/>
    <tableColumn id="2" xr3:uid="{B1047790-F9C8-4D16-B6EB-9812C372692E}" name="Interpretation" dataDxfId="2"/>
    <tableColumn id="3" xr3:uid="{923BC08A-1D24-4854-8B2B-55A0A54741F7}" name="Illustrative Indicators Strong Performance (Non-Exhaustive)" dataDxfId="1"/>
    <tableColumn id="4" xr3:uid="{E37913AA-80C1-4419-9D22-2526EA0A6251}" name="Illustrative Indicators Weak Performance (Non-Exhaustive)"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2E4AE-AA6C-4FFC-A5B6-75D1646F4A25}">
  <dimension ref="A1:H10"/>
  <sheetViews>
    <sheetView tabSelected="1" workbookViewId="0">
      <selection activeCell="G10" sqref="G10"/>
    </sheetView>
  </sheetViews>
  <sheetFormatPr defaultRowHeight="14.5" x14ac:dyDescent="0.35"/>
  <cols>
    <col min="1" max="1" width="29.26953125" customWidth="1"/>
    <col min="2" max="2" width="11" customWidth="1"/>
    <col min="6" max="6" width="13.54296875" customWidth="1"/>
    <col min="7" max="7" width="15.1796875" customWidth="1"/>
  </cols>
  <sheetData>
    <row r="1" spans="1:8" x14ac:dyDescent="0.35">
      <c r="A1" t="s">
        <v>28</v>
      </c>
      <c r="B1" t="s">
        <v>26</v>
      </c>
      <c r="C1" t="s">
        <v>45</v>
      </c>
      <c r="D1" t="s">
        <v>46</v>
      </c>
      <c r="E1" t="s">
        <v>47</v>
      </c>
      <c r="F1" t="s">
        <v>41</v>
      </c>
      <c r="G1" t="s">
        <v>50</v>
      </c>
    </row>
    <row r="2" spans="1:8" x14ac:dyDescent="0.35">
      <c r="A2" t="str">
        <f>Table2[[#This Row],[Competence]]</f>
        <v>Data &amp; Domain</v>
      </c>
      <c r="B2">
        <v>1</v>
      </c>
      <c r="C2">
        <f>Table2[[#This Row],[Points Achieved]]</f>
        <v>0</v>
      </c>
      <c r="D2">
        <f>Table22[[#This Row],[Points Achieved]]</f>
        <v>0</v>
      </c>
      <c r="E2">
        <f>Table25[[#This Row],[Points Achieved]]</f>
        <v>0</v>
      </c>
      <c r="G2">
        <f>SUM(Table2[[#This Row],[Bonus Credits]],Table22[[#This Row],[Bonus Credits]],Table25[[#This Row],[Bonus Credits]])</f>
        <v>0</v>
      </c>
    </row>
    <row r="3" spans="1:8" x14ac:dyDescent="0.35">
      <c r="A3" t="str">
        <f>task1!A4</f>
        <v>Methodological Design</v>
      </c>
      <c r="B3">
        <v>1</v>
      </c>
      <c r="C3">
        <f>task1!G4</f>
        <v>0</v>
      </c>
      <c r="D3">
        <f>task2!G4</f>
        <v>0</v>
      </c>
      <c r="E3">
        <f>task3!G4</f>
        <v>0</v>
      </c>
      <c r="G3">
        <f>SUM(task1!H4,task2!H4,task3!H4,)</f>
        <v>0</v>
      </c>
    </row>
    <row r="4" spans="1:8" x14ac:dyDescent="0.35">
      <c r="A4" t="str">
        <f>task1!A6</f>
        <v>Technical Implementation</v>
      </c>
      <c r="B4">
        <v>1</v>
      </c>
      <c r="C4">
        <f>task1!G6</f>
        <v>0</v>
      </c>
      <c r="D4">
        <f>task2!G6</f>
        <v>0</v>
      </c>
      <c r="E4">
        <f>task3!G6</f>
        <v>0</v>
      </c>
      <c r="G4">
        <f>SUM(task1!H6,task2!H6,task3!H6)</f>
        <v>0</v>
      </c>
    </row>
    <row r="5" spans="1:8" x14ac:dyDescent="0.35">
      <c r="A5" t="str">
        <f>task1!A8</f>
        <v>Evaluation</v>
      </c>
      <c r="B5">
        <v>1</v>
      </c>
      <c r="C5">
        <f>task1!G8</f>
        <v>0</v>
      </c>
      <c r="D5">
        <f>task2!G8</f>
        <v>0</v>
      </c>
      <c r="E5">
        <f>task3!G8</f>
        <v>0</v>
      </c>
      <c r="G5">
        <f>SUM(task1!H8,task2!H8,task3!H8)</f>
        <v>0</v>
      </c>
    </row>
    <row r="6" spans="1:8" x14ac:dyDescent="0.35">
      <c r="A6" t="str">
        <f>task1!A10</f>
        <v>Analytical &amp; Communication</v>
      </c>
      <c r="B6">
        <v>1</v>
      </c>
      <c r="C6">
        <f>task1!G10</f>
        <v>0</v>
      </c>
      <c r="D6">
        <f>task2!G10</f>
        <v>0</v>
      </c>
      <c r="E6">
        <f>task3!G10</f>
        <v>0</v>
      </c>
      <c r="G6">
        <f>SUM(task1!H10,task2!H10,task3!H10)</f>
        <v>0</v>
      </c>
    </row>
    <row r="7" spans="1:8" x14ac:dyDescent="0.35">
      <c r="A7" t="s">
        <v>48</v>
      </c>
      <c r="C7">
        <f>SUM($B2*C2,$B3*C3,$B4*C4,$B5*C5,$B6*C6)</f>
        <v>0</v>
      </c>
      <c r="D7">
        <f>SUM($B2*D2,$B3*D3,$B4*D4,$B5*D5,$B6*D6)</f>
        <v>0</v>
      </c>
      <c r="E7">
        <f>SUM($B2*E2,$B3*E3,$B4*E4,$B5*E5,$B6*E6)</f>
        <v>0</v>
      </c>
      <c r="F7">
        <f>SUM(C7:E7)</f>
        <v>0</v>
      </c>
      <c r="G7">
        <f>SUM(G2:G6)</f>
        <v>0</v>
      </c>
    </row>
    <row r="8" spans="1:8" x14ac:dyDescent="0.35">
      <c r="A8" t="s">
        <v>49</v>
      </c>
      <c r="F8">
        <f>SUM(B2*3,B3*3,B4*3,B5*3,B6*3)*3</f>
        <v>45</v>
      </c>
      <c r="G8">
        <v>15</v>
      </c>
    </row>
    <row r="9" spans="1:8" ht="15" thickBot="1" x14ac:dyDescent="0.4">
      <c r="A9" t="s">
        <v>42</v>
      </c>
      <c r="F9" s="12">
        <f>MAX(1,MIN(6,IF(F7&lt;=$F$8/3,
   1+9*F7/$F$8,
   IF(F7&lt;=2*$F$8/3,
      3+3*F7/$F$8,
      3+3*F7/$F$8
   )
)))</f>
        <v>1</v>
      </c>
      <c r="G9" s="13">
        <f>IF($G$7&lt;10,0,MIN($G$7,$G$8)/$G$8*0.33)</f>
        <v>0</v>
      </c>
      <c r="H9" s="14">
        <f>MIN(6,F9+G9)</f>
        <v>1</v>
      </c>
    </row>
    <row r="10" spans="1:8" ht="15" thickTop="1" x14ac:dyDescent="0.3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6ADB-1081-4708-836B-89A4832BB7AA}">
  <dimension ref="A1:I13"/>
  <sheetViews>
    <sheetView zoomScale="102" zoomScaleNormal="140" workbookViewId="0">
      <selection activeCell="H1" sqref="H1"/>
    </sheetView>
  </sheetViews>
  <sheetFormatPr defaultRowHeight="14.5" x14ac:dyDescent="0.35"/>
  <cols>
    <col min="1" max="1" width="42.453125" customWidth="1"/>
    <col min="2" max="2" width="28.7265625" bestFit="1" customWidth="1"/>
    <col min="3" max="3" width="29.453125" customWidth="1"/>
    <col min="4" max="4" width="29.26953125" bestFit="1" customWidth="1"/>
    <col min="5" max="5" width="29.1796875" bestFit="1" customWidth="1"/>
    <col min="6" max="6" width="7.453125" bestFit="1" customWidth="1"/>
    <col min="7" max="7" width="15.54296875" bestFit="1" customWidth="1"/>
    <col min="8" max="8" width="15.54296875" customWidth="1"/>
    <col min="9" max="9" width="38.54296875" customWidth="1"/>
  </cols>
  <sheetData>
    <row r="1" spans="1:9" x14ac:dyDescent="0.35">
      <c r="A1" s="1" t="s">
        <v>28</v>
      </c>
      <c r="B1" s="1" t="s">
        <v>74</v>
      </c>
      <c r="C1" s="1" t="s">
        <v>75</v>
      </c>
      <c r="D1" s="1" t="s">
        <v>73</v>
      </c>
      <c r="E1" s="1" t="s">
        <v>72</v>
      </c>
      <c r="F1" s="1" t="s">
        <v>26</v>
      </c>
      <c r="G1" s="1" t="s">
        <v>27</v>
      </c>
      <c r="H1" s="1" t="s">
        <v>71</v>
      </c>
      <c r="I1" s="1" t="s">
        <v>40</v>
      </c>
    </row>
    <row r="2" spans="1:9" x14ac:dyDescent="0.35">
      <c r="A2" s="1" t="s">
        <v>20</v>
      </c>
      <c r="B2" s="4"/>
      <c r="C2" s="4"/>
      <c r="D2" s="4"/>
      <c r="E2" s="4"/>
      <c r="F2" s="5">
        <f>overview_grade!B2</f>
        <v>1</v>
      </c>
      <c r="G2" s="5">
        <v>0</v>
      </c>
      <c r="H2" s="5">
        <v>0</v>
      </c>
      <c r="I2" s="3"/>
    </row>
    <row r="3" spans="1:9" s="8" customFormat="1" ht="130.5" x14ac:dyDescent="0.35">
      <c r="A3" s="6" t="s">
        <v>99</v>
      </c>
      <c r="B3" s="6" t="s">
        <v>53</v>
      </c>
      <c r="C3" s="6" t="s">
        <v>25</v>
      </c>
      <c r="D3" s="6" t="s">
        <v>97</v>
      </c>
      <c r="E3" s="6" t="s">
        <v>98</v>
      </c>
      <c r="F3" s="7"/>
      <c r="G3" s="7"/>
      <c r="H3" s="7"/>
      <c r="I3" s="3"/>
    </row>
    <row r="4" spans="1:9" x14ac:dyDescent="0.35">
      <c r="A4" s="1" t="s">
        <v>44</v>
      </c>
      <c r="B4" s="3"/>
      <c r="C4" s="3"/>
      <c r="D4" s="3"/>
      <c r="E4" s="3"/>
      <c r="F4" s="5">
        <f>overview_grade!B3</f>
        <v>1</v>
      </c>
      <c r="G4" s="5">
        <v>0</v>
      </c>
      <c r="H4" s="5">
        <v>0</v>
      </c>
      <c r="I4" s="3"/>
    </row>
    <row r="5" spans="1:9" s="8" customFormat="1" ht="174" x14ac:dyDescent="0.35">
      <c r="A5" s="6" t="s">
        <v>51</v>
      </c>
      <c r="B5" s="6" t="s">
        <v>52</v>
      </c>
      <c r="C5" s="6" t="s">
        <v>94</v>
      </c>
      <c r="D5" s="6" t="s">
        <v>95</v>
      </c>
      <c r="E5" s="6" t="s">
        <v>96</v>
      </c>
      <c r="F5" s="7"/>
      <c r="G5" s="7"/>
      <c r="H5" s="7"/>
      <c r="I5" s="3"/>
    </row>
    <row r="6" spans="1:9" x14ac:dyDescent="0.35">
      <c r="A6" s="1" t="s">
        <v>22</v>
      </c>
      <c r="B6" s="3"/>
      <c r="C6" s="3"/>
      <c r="D6" s="3"/>
      <c r="E6" s="3"/>
      <c r="F6" s="5">
        <f>overview_grade!B4</f>
        <v>1</v>
      </c>
      <c r="G6" s="5">
        <v>0</v>
      </c>
      <c r="H6" s="5">
        <v>0</v>
      </c>
      <c r="I6" s="3"/>
    </row>
    <row r="7" spans="1:9" s="8" customFormat="1" ht="145" x14ac:dyDescent="0.35">
      <c r="A7" s="6" t="s">
        <v>89</v>
      </c>
      <c r="B7" s="6" t="s">
        <v>88</v>
      </c>
      <c r="C7" s="6" t="s">
        <v>87</v>
      </c>
      <c r="D7" s="6" t="s">
        <v>86</v>
      </c>
      <c r="E7" s="6" t="s">
        <v>85</v>
      </c>
      <c r="F7" s="7"/>
      <c r="G7" s="7"/>
      <c r="H7" s="7"/>
      <c r="I7" s="3"/>
    </row>
    <row r="8" spans="1:9" ht="29" x14ac:dyDescent="0.35">
      <c r="A8" s="1" t="s">
        <v>23</v>
      </c>
      <c r="B8" s="3"/>
      <c r="C8" s="11" t="s">
        <v>90</v>
      </c>
      <c r="D8" s="11" t="s">
        <v>91</v>
      </c>
      <c r="E8" s="11" t="s">
        <v>93</v>
      </c>
      <c r="F8" s="5">
        <f>overview_grade!B5</f>
        <v>1</v>
      </c>
      <c r="G8" s="5">
        <v>0</v>
      </c>
      <c r="H8" s="5">
        <v>0</v>
      </c>
      <c r="I8" s="3"/>
    </row>
    <row r="9" spans="1:9" s="8" customFormat="1" ht="145" x14ac:dyDescent="0.35">
      <c r="A9" s="6" t="s">
        <v>84</v>
      </c>
      <c r="B9" s="6" t="s">
        <v>78</v>
      </c>
      <c r="C9" s="6" t="s">
        <v>79</v>
      </c>
      <c r="D9" s="6" t="s">
        <v>80</v>
      </c>
      <c r="E9" s="6" t="s">
        <v>92</v>
      </c>
      <c r="F9" s="7"/>
      <c r="G9" s="7"/>
      <c r="H9" s="7"/>
      <c r="I9" s="3"/>
    </row>
    <row r="10" spans="1:9" x14ac:dyDescent="0.35">
      <c r="A10" s="1" t="s">
        <v>24</v>
      </c>
      <c r="B10" s="3"/>
      <c r="C10" s="3"/>
      <c r="D10" s="3"/>
      <c r="E10" s="3"/>
      <c r="F10" s="5">
        <f>overview_grade!B6</f>
        <v>1</v>
      </c>
      <c r="G10" s="5">
        <v>0</v>
      </c>
      <c r="H10" s="5">
        <v>0</v>
      </c>
      <c r="I10" s="3"/>
    </row>
    <row r="11" spans="1:9" s="8" customFormat="1" ht="145" x14ac:dyDescent="0.35">
      <c r="A11" s="6" t="s">
        <v>19</v>
      </c>
      <c r="B11" s="6" t="s">
        <v>100</v>
      </c>
      <c r="C11" s="6" t="s">
        <v>101</v>
      </c>
      <c r="D11" s="6" t="s">
        <v>102</v>
      </c>
      <c r="E11" s="6" t="s">
        <v>103</v>
      </c>
      <c r="F11" s="7"/>
      <c r="G11" s="7"/>
      <c r="H11" s="7"/>
      <c r="I11" s="3"/>
    </row>
    <row r="12" spans="1:9" x14ac:dyDescent="0.35">
      <c r="A12" s="11" t="s">
        <v>41</v>
      </c>
      <c r="B12" s="3"/>
      <c r="C12" s="3"/>
      <c r="D12" s="3"/>
      <c r="E12" s="3"/>
      <c r="F12" s="4">
        <f>SUM(F2,F4,F6,F8,F10)</f>
        <v>5</v>
      </c>
      <c r="G12" s="4">
        <f>SUM(F2*G2,F4*G4,F6*G6,F8*G8,F10*G10)</f>
        <v>0</v>
      </c>
      <c r="H12" s="4">
        <f>SUM(H2,H4,H6,H8,H10)</f>
        <v>0</v>
      </c>
      <c r="I12" s="3"/>
    </row>
    <row r="13" spans="1:9" x14ac:dyDescent="0.35">
      <c r="A13" s="11" t="s">
        <v>42</v>
      </c>
      <c r="B13" s="3"/>
      <c r="C13" s="3"/>
      <c r="D13" s="3"/>
      <c r="E13" s="3"/>
      <c r="F13" s="3"/>
      <c r="G13" s="5">
        <f>IF(G12=0, 1, (6-4)/(3*$F$12-1*$F$12)*(G12-$F$12)+4)</f>
        <v>1</v>
      </c>
      <c r="H13" s="5"/>
      <c r="I13" s="3"/>
    </row>
  </sheetData>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FF0D7-9990-4E02-B700-59BB396EADA0}">
  <dimension ref="A1:I12"/>
  <sheetViews>
    <sheetView topLeftCell="A5" zoomScale="88" zoomScaleNormal="140" workbookViewId="0">
      <selection activeCell="H12" sqref="H12"/>
    </sheetView>
  </sheetViews>
  <sheetFormatPr defaultRowHeight="14.5" x14ac:dyDescent="0.35"/>
  <cols>
    <col min="1" max="1" width="42.453125" customWidth="1"/>
    <col min="2" max="2" width="28.7265625" bestFit="1" customWidth="1"/>
    <col min="3" max="3" width="29.453125" customWidth="1"/>
    <col min="4" max="4" width="29.26953125" bestFit="1" customWidth="1"/>
    <col min="5" max="5" width="29.1796875" bestFit="1" customWidth="1"/>
    <col min="6" max="6" width="7.453125" bestFit="1" customWidth="1"/>
    <col min="7" max="7" width="15.54296875" bestFit="1" customWidth="1"/>
    <col min="8" max="8" width="15.54296875" customWidth="1"/>
    <col min="9" max="9" width="38.54296875" customWidth="1"/>
  </cols>
  <sheetData>
    <row r="1" spans="1:9" x14ac:dyDescent="0.35">
      <c r="A1" s="1" t="s">
        <v>28</v>
      </c>
      <c r="B1" s="1" t="s">
        <v>74</v>
      </c>
      <c r="C1" s="1" t="s">
        <v>75</v>
      </c>
      <c r="D1" s="1" t="s">
        <v>73</v>
      </c>
      <c r="E1" s="1" t="s">
        <v>72</v>
      </c>
      <c r="F1" s="1" t="s">
        <v>26</v>
      </c>
      <c r="G1" s="1" t="s">
        <v>27</v>
      </c>
      <c r="H1" s="1" t="s">
        <v>71</v>
      </c>
      <c r="I1" s="1" t="s">
        <v>40</v>
      </c>
    </row>
    <row r="2" spans="1:9" x14ac:dyDescent="0.35">
      <c r="A2" s="1" t="s">
        <v>20</v>
      </c>
      <c r="B2" s="4"/>
      <c r="C2" s="4"/>
      <c r="D2" s="4"/>
      <c r="E2" s="4"/>
      <c r="F2" s="5">
        <f>overview_grade!B2</f>
        <v>1</v>
      </c>
      <c r="G2" s="5">
        <v>0</v>
      </c>
      <c r="H2" s="5">
        <v>0</v>
      </c>
      <c r="I2" s="3"/>
    </row>
    <row r="3" spans="1:9" s="8" customFormat="1" ht="130.5" x14ac:dyDescent="0.35">
      <c r="A3" s="6" t="s">
        <v>99</v>
      </c>
      <c r="B3" s="6" t="s">
        <v>53</v>
      </c>
      <c r="C3" s="6" t="s">
        <v>25</v>
      </c>
      <c r="D3" s="6" t="s">
        <v>97</v>
      </c>
      <c r="E3" s="6" t="s">
        <v>98</v>
      </c>
      <c r="F3" s="7"/>
      <c r="G3" s="7"/>
      <c r="H3" s="7"/>
      <c r="I3" s="3"/>
    </row>
    <row r="4" spans="1:9" x14ac:dyDescent="0.35">
      <c r="A4" s="1" t="s">
        <v>44</v>
      </c>
      <c r="B4" s="3"/>
      <c r="C4" s="3"/>
      <c r="D4" s="3"/>
      <c r="E4" s="3"/>
      <c r="F4" s="5">
        <f>overview_grade!B3</f>
        <v>1</v>
      </c>
      <c r="G4" s="5">
        <v>0</v>
      </c>
      <c r="H4" s="5">
        <v>0</v>
      </c>
      <c r="I4" s="3"/>
    </row>
    <row r="5" spans="1:9" s="8" customFormat="1" ht="174" x14ac:dyDescent="0.35">
      <c r="A5" s="6" t="s">
        <v>51</v>
      </c>
      <c r="B5" s="6" t="s">
        <v>52</v>
      </c>
      <c r="C5" s="6" t="s">
        <v>94</v>
      </c>
      <c r="D5" s="6" t="s">
        <v>95</v>
      </c>
      <c r="E5" s="6" t="s">
        <v>96</v>
      </c>
      <c r="F5" s="7"/>
      <c r="G5" s="7"/>
      <c r="H5" s="7"/>
      <c r="I5" s="3"/>
    </row>
    <row r="6" spans="1:9" x14ac:dyDescent="0.35">
      <c r="A6" s="1" t="s">
        <v>22</v>
      </c>
      <c r="B6" s="3"/>
      <c r="C6" s="3"/>
      <c r="D6" s="3"/>
      <c r="E6" s="3"/>
      <c r="F6" s="5">
        <f>overview_grade!B4</f>
        <v>1</v>
      </c>
      <c r="G6" s="5">
        <v>0</v>
      </c>
      <c r="H6" s="5">
        <v>0</v>
      </c>
      <c r="I6" s="3"/>
    </row>
    <row r="7" spans="1:9" s="8" customFormat="1" ht="145" x14ac:dyDescent="0.35">
      <c r="A7" s="6" t="s">
        <v>89</v>
      </c>
      <c r="B7" s="6" t="s">
        <v>88</v>
      </c>
      <c r="C7" s="6" t="s">
        <v>87</v>
      </c>
      <c r="D7" s="6" t="s">
        <v>86</v>
      </c>
      <c r="E7" s="6" t="s">
        <v>85</v>
      </c>
      <c r="F7" s="7"/>
      <c r="G7" s="7"/>
      <c r="H7" s="7"/>
      <c r="I7" s="3"/>
    </row>
    <row r="8" spans="1:9" x14ac:dyDescent="0.35">
      <c r="A8" s="1" t="s">
        <v>23</v>
      </c>
      <c r="B8" s="3"/>
      <c r="C8" s="3"/>
      <c r="D8" s="3"/>
      <c r="E8" s="3"/>
      <c r="F8" s="5">
        <f>overview_grade!B5</f>
        <v>1</v>
      </c>
      <c r="G8" s="5">
        <v>0</v>
      </c>
      <c r="H8" s="5">
        <v>0</v>
      </c>
      <c r="I8" s="3"/>
    </row>
    <row r="9" spans="1:9" s="8" customFormat="1" ht="159.5" x14ac:dyDescent="0.35">
      <c r="A9" s="6" t="s">
        <v>84</v>
      </c>
      <c r="B9" s="6" t="s">
        <v>78</v>
      </c>
      <c r="C9" s="6" t="s">
        <v>83</v>
      </c>
      <c r="D9" s="6" t="s">
        <v>82</v>
      </c>
      <c r="E9" s="6" t="s">
        <v>81</v>
      </c>
      <c r="F9" s="7"/>
      <c r="G9" s="7"/>
      <c r="H9" s="7"/>
      <c r="I9" s="3"/>
    </row>
    <row r="10" spans="1:9" x14ac:dyDescent="0.35">
      <c r="A10" s="1" t="s">
        <v>24</v>
      </c>
      <c r="B10" s="3"/>
      <c r="C10" s="3"/>
      <c r="D10" s="3"/>
      <c r="E10" s="3"/>
      <c r="F10" s="5">
        <f>overview_grade!B6</f>
        <v>1</v>
      </c>
      <c r="G10" s="5">
        <v>0</v>
      </c>
      <c r="H10" s="5">
        <v>0</v>
      </c>
      <c r="I10" s="3"/>
    </row>
    <row r="11" spans="1:9" s="8" customFormat="1" ht="145" x14ac:dyDescent="0.35">
      <c r="A11" s="6" t="s">
        <v>19</v>
      </c>
      <c r="B11" s="6" t="s">
        <v>100</v>
      </c>
      <c r="C11" s="6" t="s">
        <v>101</v>
      </c>
      <c r="D11" s="6" t="s">
        <v>102</v>
      </c>
      <c r="E11" s="6" t="s">
        <v>103</v>
      </c>
      <c r="F11" s="7"/>
      <c r="G11" s="7"/>
      <c r="H11" s="7"/>
      <c r="I11" s="3"/>
    </row>
    <row r="12" spans="1:9" x14ac:dyDescent="0.35">
      <c r="A12" s="11" t="s">
        <v>41</v>
      </c>
      <c r="B12" s="3"/>
      <c r="C12" s="3"/>
      <c r="D12" s="3"/>
      <c r="E12" s="3"/>
      <c r="F12" s="4">
        <f>SUM(F2,F4,F6,F8,F10)</f>
        <v>5</v>
      </c>
      <c r="G12" s="4">
        <f>SUM(F2*G2,F4*G4,F6*G6,F8*G8,F10*G10)</f>
        <v>0</v>
      </c>
      <c r="H12" s="4">
        <f>SUM(H2,H4,H6,H8,H10)</f>
        <v>0</v>
      </c>
      <c r="I12" s="3"/>
    </row>
  </sheetData>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07C86-D5B1-4E00-9C1F-CF58BEEE4A7C}">
  <dimension ref="A1:I12"/>
  <sheetViews>
    <sheetView zoomScale="88" zoomScaleNormal="140" workbookViewId="0">
      <selection activeCell="G3" sqref="G3"/>
    </sheetView>
  </sheetViews>
  <sheetFormatPr defaultRowHeight="14.5" x14ac:dyDescent="0.35"/>
  <cols>
    <col min="1" max="1" width="42.453125" customWidth="1"/>
    <col min="2" max="2" width="28.7265625" bestFit="1" customWidth="1"/>
    <col min="3" max="3" width="29.453125" customWidth="1"/>
    <col min="4" max="4" width="29.26953125" bestFit="1" customWidth="1"/>
    <col min="5" max="5" width="29.1796875" bestFit="1" customWidth="1"/>
    <col min="6" max="6" width="7.453125" bestFit="1" customWidth="1"/>
    <col min="7" max="7" width="15.54296875" bestFit="1" customWidth="1"/>
    <col min="8" max="8" width="15.54296875" customWidth="1"/>
    <col min="9" max="9" width="38.54296875" customWidth="1"/>
  </cols>
  <sheetData>
    <row r="1" spans="1:9" x14ac:dyDescent="0.35">
      <c r="A1" s="1" t="s">
        <v>28</v>
      </c>
      <c r="B1" s="1" t="s">
        <v>74</v>
      </c>
      <c r="C1" s="1" t="s">
        <v>75</v>
      </c>
      <c r="D1" s="1" t="s">
        <v>73</v>
      </c>
      <c r="E1" s="1" t="s">
        <v>72</v>
      </c>
      <c r="F1" s="1" t="s">
        <v>26</v>
      </c>
      <c r="G1" s="1" t="s">
        <v>27</v>
      </c>
      <c r="H1" s="1" t="s">
        <v>71</v>
      </c>
      <c r="I1" s="1" t="s">
        <v>40</v>
      </c>
    </row>
    <row r="2" spans="1:9" x14ac:dyDescent="0.35">
      <c r="A2" s="1" t="s">
        <v>20</v>
      </c>
      <c r="B2" s="4"/>
      <c r="C2" s="4"/>
      <c r="D2" s="4"/>
      <c r="E2" s="4"/>
      <c r="F2" s="5">
        <f>overview_grade!B2</f>
        <v>1</v>
      </c>
      <c r="G2" s="5">
        <v>0</v>
      </c>
      <c r="H2" s="5">
        <v>0</v>
      </c>
      <c r="I2" s="3"/>
    </row>
    <row r="3" spans="1:9" s="8" customFormat="1" ht="130.5" x14ac:dyDescent="0.35">
      <c r="A3" s="6" t="s">
        <v>99</v>
      </c>
      <c r="B3" s="6" t="s">
        <v>53</v>
      </c>
      <c r="C3" s="6" t="s">
        <v>25</v>
      </c>
      <c r="D3" s="6" t="s">
        <v>97</v>
      </c>
      <c r="E3" s="6" t="s">
        <v>98</v>
      </c>
      <c r="F3" s="7"/>
      <c r="G3" s="7"/>
      <c r="H3" s="7"/>
      <c r="I3" s="3"/>
    </row>
    <row r="4" spans="1:9" x14ac:dyDescent="0.35">
      <c r="A4" s="1" t="s">
        <v>44</v>
      </c>
      <c r="B4" s="3"/>
      <c r="C4" s="3"/>
      <c r="D4" s="3"/>
      <c r="E4" s="3"/>
      <c r="F4" s="5">
        <f>overview_grade!B3</f>
        <v>1</v>
      </c>
      <c r="G4" s="5">
        <v>0</v>
      </c>
      <c r="H4" s="5">
        <v>0</v>
      </c>
      <c r="I4" s="3"/>
    </row>
    <row r="5" spans="1:9" s="8" customFormat="1" ht="174" x14ac:dyDescent="0.35">
      <c r="A5" s="6" t="s">
        <v>51</v>
      </c>
      <c r="B5" s="6" t="s">
        <v>52</v>
      </c>
      <c r="C5" s="6" t="s">
        <v>94</v>
      </c>
      <c r="D5" s="6" t="s">
        <v>95</v>
      </c>
      <c r="E5" s="6" t="s">
        <v>96</v>
      </c>
      <c r="F5" s="7"/>
      <c r="G5" s="7"/>
      <c r="H5" s="7"/>
      <c r="I5" s="3"/>
    </row>
    <row r="6" spans="1:9" x14ac:dyDescent="0.35">
      <c r="A6" s="1" t="s">
        <v>22</v>
      </c>
      <c r="B6" s="3"/>
      <c r="C6" s="3"/>
      <c r="D6" s="3"/>
      <c r="E6" s="3"/>
      <c r="F6" s="5">
        <f>overview_grade!B4</f>
        <v>1</v>
      </c>
      <c r="G6" s="5">
        <v>0</v>
      </c>
      <c r="H6" s="5">
        <v>0</v>
      </c>
      <c r="I6" s="3"/>
    </row>
    <row r="7" spans="1:9" s="8" customFormat="1" ht="145" x14ac:dyDescent="0.35">
      <c r="A7" s="6" t="s">
        <v>89</v>
      </c>
      <c r="B7" s="6" t="s">
        <v>88</v>
      </c>
      <c r="C7" s="6" t="s">
        <v>87</v>
      </c>
      <c r="D7" s="6" t="s">
        <v>86</v>
      </c>
      <c r="E7" s="6" t="s">
        <v>85</v>
      </c>
      <c r="F7" s="7"/>
      <c r="G7" s="7"/>
      <c r="H7" s="7"/>
      <c r="I7" s="3"/>
    </row>
    <row r="8" spans="1:9" x14ac:dyDescent="0.35">
      <c r="A8" s="1" t="s">
        <v>23</v>
      </c>
      <c r="B8" s="3"/>
      <c r="C8" s="3"/>
      <c r="D8" s="3"/>
      <c r="E8" s="3"/>
      <c r="F8" s="5">
        <f>overview_grade!B5</f>
        <v>1</v>
      </c>
      <c r="G8" s="5">
        <v>0</v>
      </c>
      <c r="H8" s="5">
        <v>0</v>
      </c>
      <c r="I8" s="3"/>
    </row>
    <row r="9" spans="1:9" s="8" customFormat="1" ht="159.5" x14ac:dyDescent="0.35">
      <c r="A9" s="6" t="s">
        <v>84</v>
      </c>
      <c r="B9" s="6" t="s">
        <v>78</v>
      </c>
      <c r="C9" s="6" t="s">
        <v>83</v>
      </c>
      <c r="D9" s="6" t="s">
        <v>82</v>
      </c>
      <c r="E9" s="6" t="s">
        <v>81</v>
      </c>
      <c r="F9" s="7"/>
      <c r="G9" s="7"/>
      <c r="H9" s="7"/>
      <c r="I9" s="3"/>
    </row>
    <row r="10" spans="1:9" x14ac:dyDescent="0.35">
      <c r="A10" s="1" t="s">
        <v>24</v>
      </c>
      <c r="B10" s="3"/>
      <c r="C10" s="3"/>
      <c r="D10" s="3"/>
      <c r="E10" s="3"/>
      <c r="F10" s="5">
        <f>overview_grade!B6</f>
        <v>1</v>
      </c>
      <c r="G10" s="5">
        <v>0</v>
      </c>
      <c r="H10" s="5">
        <v>0</v>
      </c>
      <c r="I10" s="3"/>
    </row>
    <row r="11" spans="1:9" s="8" customFormat="1" ht="145" x14ac:dyDescent="0.35">
      <c r="A11" s="6" t="s">
        <v>19</v>
      </c>
      <c r="B11" s="6" t="s">
        <v>100</v>
      </c>
      <c r="C11" s="6" t="s">
        <v>101</v>
      </c>
      <c r="D11" s="6" t="s">
        <v>102</v>
      </c>
      <c r="E11" s="6" t="s">
        <v>103</v>
      </c>
      <c r="F11" s="7"/>
      <c r="G11" s="7"/>
      <c r="H11" s="7"/>
      <c r="I11" s="3"/>
    </row>
    <row r="12" spans="1:9" x14ac:dyDescent="0.35">
      <c r="A12" s="11" t="s">
        <v>41</v>
      </c>
      <c r="B12" s="3"/>
      <c r="C12" s="3"/>
      <c r="D12" s="3"/>
      <c r="E12" s="3"/>
      <c r="F12" s="4">
        <f>SUM(F2,F4,F6,F8,F10)</f>
        <v>5</v>
      </c>
      <c r="G12" s="4">
        <f>SUM(F2*G2,F4*G4,F6*G6,F8*G8,F10*G10)</f>
        <v>0</v>
      </c>
      <c r="H12" s="4">
        <f>SUM(H2,H4,H6,H8,H10)</f>
        <v>0</v>
      </c>
      <c r="I12" s="3"/>
    </row>
  </sheetData>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EC72A-44A9-4C96-AF81-A339C87B2AFE}">
  <dimension ref="A1:D6"/>
  <sheetViews>
    <sheetView topLeftCell="A15" zoomScale="98" workbookViewId="0">
      <selection activeCell="B12" sqref="B12"/>
    </sheetView>
  </sheetViews>
  <sheetFormatPr defaultRowHeight="14.5" x14ac:dyDescent="0.35"/>
  <cols>
    <col min="1" max="1" width="30.7265625" customWidth="1"/>
    <col min="2" max="2" width="63.7265625" bestFit="1" customWidth="1"/>
    <col min="3" max="3" width="63.26953125" customWidth="1"/>
    <col min="4" max="4" width="56.26953125" bestFit="1" customWidth="1"/>
  </cols>
  <sheetData>
    <row r="1" spans="1:4" x14ac:dyDescent="0.35">
      <c r="A1" t="s">
        <v>28</v>
      </c>
      <c r="B1" t="s">
        <v>29</v>
      </c>
      <c r="C1" t="s">
        <v>30</v>
      </c>
      <c r="D1" t="s">
        <v>31</v>
      </c>
    </row>
    <row r="2" spans="1:4" ht="174" x14ac:dyDescent="0.35">
      <c r="A2" s="9" t="s">
        <v>20</v>
      </c>
      <c r="B2" s="10" t="s">
        <v>64</v>
      </c>
      <c r="C2" s="10" t="s">
        <v>65</v>
      </c>
      <c r="D2" s="10" t="s">
        <v>66</v>
      </c>
    </row>
    <row r="3" spans="1:4" ht="145" x14ac:dyDescent="0.35">
      <c r="A3" s="9" t="s">
        <v>21</v>
      </c>
      <c r="B3" s="10" t="s">
        <v>62</v>
      </c>
      <c r="C3" s="10" t="s">
        <v>67</v>
      </c>
      <c r="D3" s="10" t="s">
        <v>68</v>
      </c>
    </row>
    <row r="4" spans="1:4" ht="101.5" x14ac:dyDescent="0.35">
      <c r="A4" s="9" t="s">
        <v>22</v>
      </c>
      <c r="B4" s="16" t="s">
        <v>70</v>
      </c>
      <c r="C4" s="10" t="s">
        <v>63</v>
      </c>
      <c r="D4" s="10" t="s">
        <v>69</v>
      </c>
    </row>
    <row r="5" spans="1:4" ht="130.5" x14ac:dyDescent="0.35">
      <c r="A5" s="9" t="s">
        <v>23</v>
      </c>
      <c r="B5" s="10" t="s">
        <v>38</v>
      </c>
      <c r="C5" s="10" t="s">
        <v>76</v>
      </c>
      <c r="D5" s="10" t="s">
        <v>77</v>
      </c>
    </row>
    <row r="6" spans="1:4" ht="130.5" x14ac:dyDescent="0.35">
      <c r="A6" s="9" t="s">
        <v>24</v>
      </c>
      <c r="B6" s="10" t="s">
        <v>39</v>
      </c>
      <c r="C6" s="10" t="s">
        <v>32</v>
      </c>
      <c r="D6" s="10" t="s">
        <v>33</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25717-E649-46CF-9BAE-3300746199E3}">
  <dimension ref="A1:B5"/>
  <sheetViews>
    <sheetView workbookViewId="0">
      <selection activeCell="B6" sqref="B6"/>
    </sheetView>
  </sheetViews>
  <sheetFormatPr defaultRowHeight="14.5" x14ac:dyDescent="0.35"/>
  <cols>
    <col min="1" max="1" width="40" customWidth="1"/>
  </cols>
  <sheetData>
    <row r="1" spans="1:2" x14ac:dyDescent="0.35">
      <c r="A1" s="1" t="s">
        <v>11</v>
      </c>
      <c r="B1" t="s">
        <v>16</v>
      </c>
    </row>
    <row r="2" spans="1:2" x14ac:dyDescent="0.35">
      <c r="A2" s="1" t="s">
        <v>12</v>
      </c>
      <c r="B2" t="s">
        <v>17</v>
      </c>
    </row>
    <row r="3" spans="1:2" x14ac:dyDescent="0.35">
      <c r="A3" s="1" t="s">
        <v>13</v>
      </c>
      <c r="B3" t="s">
        <v>18</v>
      </c>
    </row>
    <row r="4" spans="1:2" x14ac:dyDescent="0.35">
      <c r="A4" s="1" t="s">
        <v>14</v>
      </c>
      <c r="B4" t="s">
        <v>43</v>
      </c>
    </row>
    <row r="5" spans="1:2" x14ac:dyDescent="0.35">
      <c r="A5" s="1" t="s">
        <v>15</v>
      </c>
      <c r="B5" t="s">
        <v>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CF91-DCD1-4FF1-8592-D5584E580E92}">
  <dimension ref="A1:A29"/>
  <sheetViews>
    <sheetView workbookViewId="0">
      <selection activeCell="A34" sqref="A34"/>
    </sheetView>
  </sheetViews>
  <sheetFormatPr defaultRowHeight="14.5" x14ac:dyDescent="0.35"/>
  <cols>
    <col min="1" max="1" width="92.1796875" customWidth="1"/>
  </cols>
  <sheetData>
    <row r="1" spans="1:1" x14ac:dyDescent="0.35">
      <c r="A1" s="1" t="s">
        <v>54</v>
      </c>
    </row>
    <row r="2" spans="1:1" x14ac:dyDescent="0.35">
      <c r="A2" t="s">
        <v>3</v>
      </c>
    </row>
    <row r="3" spans="1:1" x14ac:dyDescent="0.35">
      <c r="A3" t="s">
        <v>10</v>
      </c>
    </row>
    <row r="4" spans="1:1" x14ac:dyDescent="0.35">
      <c r="A4" t="s">
        <v>35</v>
      </c>
    </row>
    <row r="6" spans="1:1" x14ac:dyDescent="0.35">
      <c r="A6" s="1" t="s">
        <v>57</v>
      </c>
    </row>
    <row r="7" spans="1:1" x14ac:dyDescent="0.35">
      <c r="A7" t="s">
        <v>4</v>
      </c>
    </row>
    <row r="8" spans="1:1" x14ac:dyDescent="0.35">
      <c r="A8" t="s">
        <v>5</v>
      </c>
    </row>
    <row r="9" spans="1:1" x14ac:dyDescent="0.35">
      <c r="A9" s="2" t="s">
        <v>0</v>
      </c>
    </row>
    <row r="10" spans="1:1" x14ac:dyDescent="0.35">
      <c r="A10" t="s">
        <v>34</v>
      </c>
    </row>
    <row r="12" spans="1:1" x14ac:dyDescent="0.35">
      <c r="A12" s="1" t="s">
        <v>55</v>
      </c>
    </row>
    <row r="13" spans="1:1" x14ac:dyDescent="0.35">
      <c r="A13" t="s">
        <v>6</v>
      </c>
    </row>
    <row r="14" spans="1:1" x14ac:dyDescent="0.35">
      <c r="A14" t="s">
        <v>7</v>
      </c>
    </row>
    <row r="15" spans="1:1" x14ac:dyDescent="0.35">
      <c r="A15" s="2" t="s">
        <v>1</v>
      </c>
    </row>
    <row r="16" spans="1:1" x14ac:dyDescent="0.35">
      <c r="A16" t="s">
        <v>36</v>
      </c>
    </row>
    <row r="18" spans="1:1" x14ac:dyDescent="0.35">
      <c r="A18" s="1" t="s">
        <v>56</v>
      </c>
    </row>
    <row r="19" spans="1:1" x14ac:dyDescent="0.35">
      <c r="A19" t="s">
        <v>8</v>
      </c>
    </row>
    <row r="20" spans="1:1" x14ac:dyDescent="0.35">
      <c r="A20" t="s">
        <v>9</v>
      </c>
    </row>
    <row r="21" spans="1:1" x14ac:dyDescent="0.35">
      <c r="A21" s="2" t="s">
        <v>2</v>
      </c>
    </row>
    <row r="22" spans="1:1" x14ac:dyDescent="0.35">
      <c r="A22" t="s">
        <v>37</v>
      </c>
    </row>
    <row r="26" spans="1:1" x14ac:dyDescent="0.35">
      <c r="A26" s="15" t="s">
        <v>58</v>
      </c>
    </row>
    <row r="27" spans="1:1" x14ac:dyDescent="0.35">
      <c r="A27" s="15" t="s">
        <v>59</v>
      </c>
    </row>
    <row r="28" spans="1:1" x14ac:dyDescent="0.35">
      <c r="A28" s="15" t="s">
        <v>60</v>
      </c>
    </row>
    <row r="29" spans="1:1" x14ac:dyDescent="0.35">
      <c r="A29" s="15"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F6D0D459B70FE846B0824BEF55C690A0" ma:contentTypeVersion="15" ma:contentTypeDescription="Ein neues Dokument erstellen." ma:contentTypeScope="" ma:versionID="dc05a67d9b57cc91ecf07e8157f89b76">
  <xsd:schema xmlns:xsd="http://www.w3.org/2001/XMLSchema" xmlns:xs="http://www.w3.org/2001/XMLSchema" xmlns:p="http://schemas.microsoft.com/office/2006/metadata/properties" xmlns:ns2="02978372-0e66-47ef-8e35-29bc77d09bcc" xmlns:ns3="5a081e8b-0fa2-4168-b500-68ac02f407ad" targetNamespace="http://schemas.microsoft.com/office/2006/metadata/properties" ma:root="true" ma:fieldsID="e6a39ddee85957434d86c60c71a4d712" ns2:_="" ns3:_="">
    <xsd:import namespace="02978372-0e66-47ef-8e35-29bc77d09bcc"/>
    <xsd:import namespace="5a081e8b-0fa2-4168-b500-68ac02f407a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978372-0e66-47ef-8e35-29bc77d09bcc"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19" nillable="true" ma:displayName="Taxonomy Catch All Column" ma:hidden="true" ma:list="{77c2f0dc-3b7c-43c4-82fd-bcc3e8919e00}" ma:internalName="TaxCatchAll" ma:showField="CatchAllData" ma:web="02978372-0e66-47ef-8e35-29bc77d09bc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a081e8b-0fa2-4168-b500-68ac02f407a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7873907d-d049-4c15-acb6-7b8f2d6df67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a081e8b-0fa2-4168-b500-68ac02f407ad">
      <Terms xmlns="http://schemas.microsoft.com/office/infopath/2007/PartnerControls"/>
    </lcf76f155ced4ddcb4097134ff3c332f>
    <TaxCatchAll xmlns="02978372-0e66-47ef-8e35-29bc77d09bcc" xsi:nil="true"/>
    <SharedWithUsers xmlns="02978372-0e66-47ef-8e35-29bc77d09bcc">
      <UserInfo>
        <DisplayName/>
        <AccountId xsi:nil="true"/>
        <AccountType/>
      </UserInfo>
    </SharedWithUsers>
  </documentManagement>
</p:properties>
</file>

<file path=customXml/itemProps1.xml><?xml version="1.0" encoding="utf-8"?>
<ds:datastoreItem xmlns:ds="http://schemas.openxmlformats.org/officeDocument/2006/customXml" ds:itemID="{652552F6-F4A9-4BF1-8ED4-776302D148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978372-0e66-47ef-8e35-29bc77d09bcc"/>
    <ds:schemaRef ds:uri="5a081e8b-0fa2-4168-b500-68ac02f407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2ADB89-C8F3-4EB1-91ED-E3059777285C}">
  <ds:schemaRefs>
    <ds:schemaRef ds:uri="http://schemas.microsoft.com/sharepoint/v3/contenttype/forms"/>
  </ds:schemaRefs>
</ds:datastoreItem>
</file>

<file path=customXml/itemProps3.xml><?xml version="1.0" encoding="utf-8"?>
<ds:datastoreItem xmlns:ds="http://schemas.openxmlformats.org/officeDocument/2006/customXml" ds:itemID="{F2FECE0C-3BE0-47BB-A117-025CE9F06720}">
  <ds:schemaRefs>
    <ds:schemaRef ds:uri="http://purl.org/dc/elements/1.1/"/>
    <ds:schemaRef ds:uri="http://schemas.microsoft.com/office/2006/documentManagement/types"/>
    <ds:schemaRef ds:uri="http://www.w3.org/XML/1998/namespace"/>
    <ds:schemaRef ds:uri="http://schemas.microsoft.com/office/infopath/2007/PartnerControls"/>
    <ds:schemaRef ds:uri="http://purl.org/dc/terms/"/>
    <ds:schemaRef ds:uri="5a081e8b-0fa2-4168-b500-68ac02f407ad"/>
    <ds:schemaRef ds:uri="http://schemas.openxmlformats.org/package/2006/metadata/core-properties"/>
    <ds:schemaRef ds:uri="02978372-0e66-47ef-8e35-29bc77d09bcc"/>
    <ds:schemaRef ds:uri="http://schemas.microsoft.com/office/2006/metadata/properties"/>
    <ds:schemaRef ds:uri="http://purl.org/dc/dcmitype/"/>
    <ds:schemaRef ds:uri="2a23c68f-a610-4cf0-be32-d8fa933a1337"/>
    <ds:schemaRef ds:uri="76f780aa-2d06-4e38-b1e0-203efab4445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overview_grade</vt:lpstr>
      <vt:lpstr>task1</vt:lpstr>
      <vt:lpstr>task2</vt:lpstr>
      <vt:lpstr>task3</vt:lpstr>
      <vt:lpstr>gbsv_interpretations-indicators</vt:lpstr>
      <vt:lpstr>competence_dimensions</vt:lpstr>
      <vt:lpstr>performance_levels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Susanne Suter</dc:creator>
  <cp:lastModifiedBy>Susanne Suter</cp:lastModifiedBy>
  <dcterms:created xsi:type="dcterms:W3CDTF">2026-02-11T08:27:48Z</dcterms:created>
  <dcterms:modified xsi:type="dcterms:W3CDTF">2026-04-20T08:17:42Z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0x010100F6D0D459B70FE846B0824BEF55C690A0</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